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loom_j/computational_notebooks/ccarr/2026/JUNV-Romero-GPC-DMS/non-pipeline_analyses/Pseudovirus_Titers/Data/"/>
    </mc:Choice>
  </mc:AlternateContent>
  <xr:revisionPtr revIDLastSave="0" documentId="13_ncr:1_{844F73C7-EADA-9345-8803-9C46623CFB3B}" xr6:coauthVersionLast="47" xr6:coauthVersionMax="47" xr10:uidLastSave="{00000000-0000-0000-0000-000000000000}"/>
  <bookViews>
    <workbookView xWindow="12640" yWindow="3280" windowWidth="22660" windowHeight="17160" xr2:uid="{43F769C3-2539-481E-B654-5C9B5F3B3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</calcChain>
</file>

<file path=xl/sharedStrings.xml><?xml version="1.0" encoding="utf-8"?>
<sst xmlns="http://schemas.openxmlformats.org/spreadsheetml/2006/main" count="17" uniqueCount="14">
  <si>
    <t>Infection_sample</t>
  </si>
  <si>
    <t>Percent_infected</t>
  </si>
  <si>
    <t>Number_of_cells_infected</t>
  </si>
  <si>
    <t>Dilution_factor</t>
  </si>
  <si>
    <t>Titers_(TU/mL)</t>
  </si>
  <si>
    <t>VSVG_TFRC_KO</t>
  </si>
  <si>
    <t>JUNV_TFRC_KO</t>
  </si>
  <si>
    <t>VSVG_293T</t>
  </si>
  <si>
    <t>JUNV_293T</t>
  </si>
  <si>
    <t>from 7/17/25</t>
  </si>
  <si>
    <t>JUNV_C_musculinus_EU164541_TfR1_TFRC_KO</t>
  </si>
  <si>
    <t>JUNV_C_callosus_TfR1_TFRC_KO</t>
  </si>
  <si>
    <t>VSVG_C_musculinus_EU164541_TfR1_TFRC_KO</t>
  </si>
  <si>
    <t>VSVG_C_callosus_TfR1_TFRC_KO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</si>
</sst>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6041-9DFB-485E-ABCD-F8A73CACD2BF}">
  <dimension ref="A1:F9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39.83203125" customWidth="1"/>
    <col min="2" max="2" width="21.33203125" customWidth="1"/>
    <col min="3" max="3" width="23.33203125" customWidth="1"/>
    <col min="4" max="4" width="15.5" customWidth="1"/>
    <col min="5" max="5" width="16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5</v>
      </c>
      <c r="B2">
        <v>4.7</v>
      </c>
      <c r="C2" s="2">
        <v>19900</v>
      </c>
      <c r="D2">
        <v>1E-3</v>
      </c>
      <c r="E2" s="1">
        <v>957993.46902590618</v>
      </c>
      <c r="F2" t="s">
        <v>9</v>
      </c>
    </row>
    <row r="3" spans="1:6" x14ac:dyDescent="0.2">
      <c r="A3" t="s">
        <v>6</v>
      </c>
      <c r="B3">
        <v>0.4</v>
      </c>
      <c r="C3" s="2">
        <v>19900</v>
      </c>
      <c r="D3">
        <v>0.1</v>
      </c>
      <c r="E3" s="1">
        <v>797.59625811022556</v>
      </c>
      <c r="F3" t="s">
        <v>9</v>
      </c>
    </row>
    <row r="4" spans="1:6" x14ac:dyDescent="0.2">
      <c r="A4" t="s">
        <v>7</v>
      </c>
      <c r="B4">
        <v>6.1</v>
      </c>
      <c r="C4">
        <v>29300</v>
      </c>
      <c r="D4">
        <v>1E-3</v>
      </c>
      <c r="E4">
        <v>1844136.1333745106</v>
      </c>
      <c r="F4" t="s">
        <v>9</v>
      </c>
    </row>
    <row r="5" spans="1:6" x14ac:dyDescent="0.2">
      <c r="A5" t="s">
        <v>8</v>
      </c>
      <c r="B5">
        <v>3.5</v>
      </c>
      <c r="C5">
        <v>29300</v>
      </c>
      <c r="D5">
        <v>0.1</v>
      </c>
      <c r="E5">
        <v>10438.763049443289</v>
      </c>
      <c r="F5" t="s">
        <v>9</v>
      </c>
    </row>
    <row r="6" spans="1:6" x14ac:dyDescent="0.2">
      <c r="A6" t="s">
        <v>10</v>
      </c>
      <c r="B6">
        <v>11.1</v>
      </c>
      <c r="C6" s="2">
        <v>69200</v>
      </c>
      <c r="D6">
        <v>0.01</v>
      </c>
      <c r="E6" s="1">
        <f t="shared" ref="E6:E9" si="0">-LN(1-B6/100)*(C6)/(D6)</f>
        <v>814193.66080016864</v>
      </c>
    </row>
    <row r="7" spans="1:6" x14ac:dyDescent="0.2">
      <c r="A7" t="s">
        <v>11</v>
      </c>
      <c r="B7">
        <v>5.2</v>
      </c>
      <c r="C7" s="2">
        <v>92100</v>
      </c>
      <c r="D7">
        <v>0.01</v>
      </c>
      <c r="E7" s="1">
        <f t="shared" si="0"/>
        <v>491821.15365673188</v>
      </c>
    </row>
    <row r="8" spans="1:6" x14ac:dyDescent="0.2">
      <c r="A8" t="s">
        <v>12</v>
      </c>
      <c r="B8">
        <v>7.7</v>
      </c>
      <c r="C8" s="2">
        <v>69200</v>
      </c>
      <c r="D8">
        <v>1E-3</v>
      </c>
      <c r="E8" s="1">
        <f t="shared" si="0"/>
        <v>5544722.2779665114</v>
      </c>
    </row>
    <row r="9" spans="1:6" x14ac:dyDescent="0.2">
      <c r="A9" t="s">
        <v>13</v>
      </c>
      <c r="B9">
        <v>4</v>
      </c>
      <c r="C9" s="2">
        <v>92100</v>
      </c>
      <c r="D9">
        <v>1E-3</v>
      </c>
      <c r="E9" s="1">
        <f t="shared" si="0"/>
        <v>3759705.6953155007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</dc:creator>
  <cp:lastModifiedBy>ccarr3</cp:lastModifiedBy>
  <dcterms:created xsi:type="dcterms:W3CDTF">2022-04-29T22:14:45Z</dcterms:created>
  <dcterms:modified xsi:type="dcterms:W3CDTF">2026-06-01T21:34:02Z</dcterms:modified>
</cp:coreProperties>
</file>